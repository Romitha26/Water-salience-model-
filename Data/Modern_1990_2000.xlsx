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b_25h_8339_s_thers_ac_jp/Documents/Research/SDM/SDM modelling/Simulation work/Simulations data input/Change point analysis/NJG/"/>
    </mc:Choice>
  </mc:AlternateContent>
  <xr:revisionPtr revIDLastSave="337" documentId="8_{7441006D-DAAE-4370-A515-D45F5665C5BD}" xr6:coauthVersionLast="47" xr6:coauthVersionMax="47" xr10:uidLastSave="{39C36D9F-BD21-48E0-ADB5-0A188ABA2217}"/>
  <bookViews>
    <workbookView xWindow="-110" yWindow="-110" windowWidth="19420" windowHeight="11020" xr2:uid="{00000000-000D-0000-FFFF-FFFF00000000}"/>
  </bookViews>
  <sheets>
    <sheet name="1990-2000" sheetId="1" r:id="rId1"/>
  </sheets>
  <definedNames>
    <definedName name="_xlnm._FilterDatabase" localSheetId="0" hidden="1">'1990-2000'!$A$1:$R$22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S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</calcChain>
</file>

<file path=xl/sharedStrings.xml><?xml version="1.0" encoding="utf-8"?>
<sst xmlns="http://schemas.openxmlformats.org/spreadsheetml/2006/main" count="40" uniqueCount="20">
  <si>
    <t>Date</t>
  </si>
  <si>
    <t>Diversion</t>
  </si>
  <si>
    <t>Allocation</t>
  </si>
  <si>
    <t>Precipitation_seasonal</t>
  </si>
  <si>
    <t>Precipitation_check</t>
  </si>
  <si>
    <t>Observed_storage</t>
  </si>
  <si>
    <t>Observed_cultivation_area</t>
  </si>
  <si>
    <t>Observed_demand</t>
  </si>
  <si>
    <t>Catchment_inflow</t>
  </si>
  <si>
    <t>Spillage</t>
  </si>
  <si>
    <t>Season</t>
  </si>
  <si>
    <t>Dry</t>
  </si>
  <si>
    <t>Wet</t>
  </si>
  <si>
    <t>Diversion_check</t>
  </si>
  <si>
    <t>Catchment_inflow_check</t>
  </si>
  <si>
    <t>Ref_evapotranspiration_seasonal (NA)</t>
  </si>
  <si>
    <t>Precipitation_seasonal_check (NA)</t>
  </si>
  <si>
    <t>Observed_rice_area (NA)</t>
  </si>
  <si>
    <t>Observed_other_area (NA)</t>
  </si>
  <si>
    <t>Ref_evapotranspiration_avg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</si>
</sst>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/>
    <xf numFmtId="1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5" fontId="0" fillId="0" borderId="0" xfId="0" applyNumberFormat="1"/>
    <xf numFmtId="1" fontId="4" fillId="0" borderId="0" xfId="0" applyNumberFormat="1" applyFont="1" applyAlignment="1">
      <alignment horizontal="right"/>
    </xf>
    <xf numFmtId="0" fontId="5" fillId="0" borderId="0" xfId="1" applyFont="1"/>
    <xf numFmtId="1" fontId="3" fillId="0" borderId="0" xfId="0" applyNumberFormat="1" applyFont="1"/>
    <xf numFmtId="166" fontId="5" fillId="0" borderId="0" xfId="2" applyNumberFormat="1" applyFont="1" applyBorder="1"/>
    <xf numFmtId="0" fontId="6" fillId="0" borderId="0" xfId="0" applyFont="1"/>
    <xf numFmtId="0" fontId="3" fillId="0" borderId="0" xfId="0" applyFont="1" applyAlignment="1">
      <alignment vertical="center" wrapText="1"/>
    </xf>
    <xf numFmtId="1" fontId="6" fillId="0" borderId="0" xfId="0" applyNumberFormat="1" applyFont="1"/>
    <xf numFmtId="165" fontId="6" fillId="0" borderId="0" xfId="0" applyNumberFormat="1" applyFont="1"/>
    <xf numFmtId="0" fontId="3" fillId="0" borderId="0" xfId="0" applyFont="1" applyAlignment="1">
      <alignment wrapText="1"/>
    </xf>
    <xf numFmtId="0" fontId="6" fillId="0" borderId="0" xfId="0" applyFont="1" applyAlignment="1">
      <alignment vertical="center" wrapText="1"/>
    </xf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topLeftCell="E1" workbookViewId="0">
      <selection activeCell="Q8" sqref="Q8"/>
    </sheetView>
  </sheetViews>
  <sheetFormatPr defaultRowHeight="14.5" x14ac:dyDescent="0.35"/>
  <cols>
    <col min="1" max="1" width="10.7265625" bestFit="1" customWidth="1"/>
    <col min="2" max="3" width="13.54296875" customWidth="1"/>
    <col min="4" max="4" width="15.453125" customWidth="1"/>
    <col min="5" max="5" width="13.54296875" customWidth="1"/>
    <col min="8" max="8" width="9.54296875" bestFit="1" customWidth="1"/>
    <col min="9" max="9" width="12" customWidth="1"/>
    <col min="10" max="10" width="13" customWidth="1"/>
    <col min="12" max="12" width="12.54296875" bestFit="1" customWidth="1"/>
    <col min="13" max="13" width="10.54296875" bestFit="1" customWidth="1"/>
  </cols>
  <sheetData>
    <row r="1" spans="1:21" ht="58" x14ac:dyDescent="0.35">
      <c r="A1" t="s">
        <v>0</v>
      </c>
      <c r="B1" s="1" t="s">
        <v>3</v>
      </c>
      <c r="C1" s="1" t="s">
        <v>4</v>
      </c>
      <c r="D1" s="11" t="s">
        <v>16</v>
      </c>
      <c r="E1" s="11" t="s">
        <v>15</v>
      </c>
      <c r="F1" s="15" t="s">
        <v>19</v>
      </c>
      <c r="G1" t="s">
        <v>1</v>
      </c>
      <c r="H1" s="4" t="s">
        <v>13</v>
      </c>
      <c r="I1" t="s">
        <v>2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14</v>
      </c>
      <c r="O1" s="4" t="s">
        <v>9</v>
      </c>
      <c r="P1" s="14" t="s">
        <v>17</v>
      </c>
      <c r="Q1" s="14" t="s">
        <v>18</v>
      </c>
      <c r="R1" s="4" t="s">
        <v>10</v>
      </c>
    </row>
    <row r="2" spans="1:21" x14ac:dyDescent="0.35">
      <c r="A2" s="2">
        <v>32964</v>
      </c>
      <c r="B2" s="3">
        <v>437.2</v>
      </c>
      <c r="C2" s="3">
        <v>326.8</v>
      </c>
      <c r="D2" s="7"/>
      <c r="E2" s="6"/>
      <c r="F2" s="12">
        <v>153.19138684964426</v>
      </c>
      <c r="G2" s="12">
        <v>236.51005377769411</v>
      </c>
      <c r="H2" s="10">
        <v>153.79646813723789</v>
      </c>
      <c r="I2" s="13">
        <v>235.20536854507228</v>
      </c>
      <c r="J2" s="13">
        <v>115.9</v>
      </c>
      <c r="K2" s="10">
        <v>7100</v>
      </c>
      <c r="L2" s="13">
        <v>114.98225332030574</v>
      </c>
      <c r="M2" s="10">
        <v>63.950407593856809</v>
      </c>
      <c r="N2" s="10">
        <v>35.813169251224423</v>
      </c>
      <c r="O2" s="10">
        <v>0</v>
      </c>
      <c r="P2" s="8"/>
      <c r="Q2" s="8"/>
      <c r="R2" t="s">
        <v>11</v>
      </c>
    </row>
    <row r="3" spans="1:21" x14ac:dyDescent="0.35">
      <c r="A3" s="2">
        <v>33147</v>
      </c>
      <c r="B3" s="3">
        <v>701.7</v>
      </c>
      <c r="C3" s="3">
        <v>759.09999999999991</v>
      </c>
      <c r="D3" s="6"/>
      <c r="E3" s="6"/>
      <c r="F3" s="12">
        <v>152.53933406899827</v>
      </c>
      <c r="G3" s="12">
        <v>285.38371031589679</v>
      </c>
      <c r="H3" s="13">
        <v>213.4190549216477</v>
      </c>
      <c r="I3" s="13">
        <v>280.32243772623696</v>
      </c>
      <c r="J3" s="13">
        <v>66.172839506172835</v>
      </c>
      <c r="K3" s="10">
        <v>13160</v>
      </c>
      <c r="L3" s="13">
        <v>202.54250236445546</v>
      </c>
      <c r="M3" s="10">
        <v>194.9183902686228</v>
      </c>
      <c r="N3" s="10">
        <v>159.25784389119221</v>
      </c>
      <c r="O3" s="10">
        <v>0</v>
      </c>
      <c r="P3" s="8"/>
      <c r="Q3" s="8"/>
      <c r="R3" t="s">
        <v>12</v>
      </c>
      <c r="S3" s="5">
        <f>J2+G2+M2-I2-O2-L2</f>
        <v>66.172839506172892</v>
      </c>
      <c r="T3" s="5">
        <f>S3-J3</f>
        <v>0</v>
      </c>
    </row>
    <row r="4" spans="1:21" x14ac:dyDescent="0.35">
      <c r="A4" s="2">
        <v>33329</v>
      </c>
      <c r="B4" s="3">
        <v>276.49</v>
      </c>
      <c r="C4" s="3">
        <v>258.58999999999997</v>
      </c>
      <c r="D4" s="9"/>
      <c r="E4" s="6"/>
      <c r="F4" s="12">
        <v>147.60773605257802</v>
      </c>
      <c r="G4" s="12">
        <v>215.77379119819821</v>
      </c>
      <c r="H4" s="13">
        <v>133.10806319819821</v>
      </c>
      <c r="I4" s="13">
        <v>157.87964205020396</v>
      </c>
      <c r="J4" s="13">
        <v>63.61</v>
      </c>
      <c r="K4" s="10">
        <v>10500</v>
      </c>
      <c r="L4" s="13">
        <v>165.61045382090785</v>
      </c>
      <c r="M4" s="10">
        <v>89.786304672913644</v>
      </c>
      <c r="N4" s="10">
        <v>47.532080672913636</v>
      </c>
      <c r="O4" s="10">
        <v>0</v>
      </c>
      <c r="P4" s="8"/>
      <c r="Q4" s="8"/>
      <c r="R4" t="s">
        <v>11</v>
      </c>
      <c r="S4" s="5">
        <f t="shared" ref="S4:S23" si="0">J3+G3+M3-I3-O3-L3</f>
        <v>63.61000000000007</v>
      </c>
      <c r="T4" s="5">
        <f t="shared" ref="T4:T23" si="1">S4-J4</f>
        <v>7.1054273576010019E-14</v>
      </c>
    </row>
    <row r="5" spans="1:21" x14ac:dyDescent="0.35">
      <c r="A5" s="2">
        <v>33512</v>
      </c>
      <c r="B5" s="3">
        <v>757.38</v>
      </c>
      <c r="C5" s="3">
        <v>831.98</v>
      </c>
      <c r="D5" s="6"/>
      <c r="E5" s="6"/>
      <c r="F5" s="12">
        <v>154.81580149839439</v>
      </c>
      <c r="G5" s="12">
        <v>194.19387894797271</v>
      </c>
      <c r="H5" s="13">
        <v>126.00351999999999</v>
      </c>
      <c r="I5" s="13">
        <v>239.45130438879505</v>
      </c>
      <c r="J5" s="13">
        <v>45.68</v>
      </c>
      <c r="K5" s="10">
        <v>13800</v>
      </c>
      <c r="L5" s="13">
        <v>197.62630344544669</v>
      </c>
      <c r="M5" s="10">
        <v>279.26644493565169</v>
      </c>
      <c r="N5" s="10">
        <v>249.73090590481289</v>
      </c>
      <c r="O5" s="10">
        <v>72.78</v>
      </c>
      <c r="P5" s="8"/>
      <c r="Q5" s="8"/>
      <c r="R5" t="s">
        <v>12</v>
      </c>
      <c r="S5" s="5">
        <f t="shared" si="0"/>
        <v>45.680000000000007</v>
      </c>
      <c r="T5" s="5">
        <f t="shared" si="1"/>
        <v>0</v>
      </c>
    </row>
    <row r="6" spans="1:21" x14ac:dyDescent="0.35">
      <c r="A6" s="2">
        <v>33695</v>
      </c>
      <c r="B6" s="3">
        <v>321</v>
      </c>
      <c r="C6" s="3">
        <v>222.2</v>
      </c>
      <c r="D6" s="9"/>
      <c r="E6" s="6"/>
      <c r="F6">
        <v>144.54563371861832</v>
      </c>
      <c r="G6" s="12">
        <v>145.58815920540059</v>
      </c>
      <c r="H6" s="13">
        <v>65.496296010527544</v>
      </c>
      <c r="I6" s="13">
        <v>130.09632212228254</v>
      </c>
      <c r="J6" s="13">
        <v>9.2827160493827154</v>
      </c>
      <c r="K6" s="10">
        <v>750</v>
      </c>
      <c r="L6" s="13">
        <v>1.0783994203280898</v>
      </c>
      <c r="M6" s="10">
        <v>48.403846287827321</v>
      </c>
      <c r="N6" s="10">
        <v>34.396559264630348</v>
      </c>
      <c r="O6" s="10">
        <v>0</v>
      </c>
      <c r="P6" s="8"/>
      <c r="Q6" s="8"/>
      <c r="R6" t="s">
        <v>11</v>
      </c>
      <c r="S6" s="5">
        <f t="shared" si="0"/>
        <v>9.2827160493826852</v>
      </c>
      <c r="T6" s="5">
        <f t="shared" si="1"/>
        <v>-3.0198066269804258E-14</v>
      </c>
    </row>
    <row r="7" spans="1:21" x14ac:dyDescent="0.35">
      <c r="A7" s="2">
        <v>33878</v>
      </c>
      <c r="B7" s="3">
        <v>836.03</v>
      </c>
      <c r="C7" s="3">
        <v>753</v>
      </c>
      <c r="D7" s="6"/>
      <c r="E7" s="6"/>
      <c r="F7">
        <v>142.48846373869114</v>
      </c>
      <c r="G7" s="12">
        <v>297.97836680789692</v>
      </c>
      <c r="H7" s="13">
        <v>247.06716680789691</v>
      </c>
      <c r="I7" s="13">
        <v>290.97243783867629</v>
      </c>
      <c r="J7" s="13">
        <v>72.099999999999994</v>
      </c>
      <c r="K7" s="10">
        <v>13556</v>
      </c>
      <c r="L7" s="13">
        <v>185.66703715033503</v>
      </c>
      <c r="M7" s="10">
        <v>133.43110818111441</v>
      </c>
      <c r="N7" s="10">
        <v>101.01891618111441</v>
      </c>
      <c r="O7" s="10">
        <v>0</v>
      </c>
      <c r="P7" s="8"/>
      <c r="Q7" s="8"/>
      <c r="R7" t="s">
        <v>12</v>
      </c>
      <c r="S7" s="5">
        <f t="shared" si="0"/>
        <v>72.099999999999994</v>
      </c>
      <c r="T7" s="5">
        <f t="shared" si="1"/>
        <v>0</v>
      </c>
    </row>
    <row r="8" spans="1:21" x14ac:dyDescent="0.35">
      <c r="A8" s="2">
        <v>34060</v>
      </c>
      <c r="B8" s="3">
        <v>200.8</v>
      </c>
      <c r="C8" s="3">
        <v>255.63</v>
      </c>
      <c r="D8" s="9"/>
      <c r="E8" s="6"/>
      <c r="F8">
        <v>145.43141981450262</v>
      </c>
      <c r="G8" s="12">
        <v>217.25995125805059</v>
      </c>
      <c r="H8" s="13">
        <v>123.48139125805061</v>
      </c>
      <c r="I8" s="13">
        <v>185.08212385479231</v>
      </c>
      <c r="J8" s="13">
        <v>26.87</v>
      </c>
      <c r="K8" s="10">
        <v>1250</v>
      </c>
      <c r="L8" s="13">
        <v>31.270339725808427</v>
      </c>
      <c r="M8" s="10">
        <v>26.042512322550181</v>
      </c>
      <c r="N8" s="10">
        <v>15.55507232255016</v>
      </c>
      <c r="O8" s="10">
        <v>0</v>
      </c>
      <c r="P8" s="8"/>
      <c r="Q8" s="8"/>
      <c r="R8" t="s">
        <v>11</v>
      </c>
      <c r="S8" s="5">
        <f t="shared" si="0"/>
        <v>26.870000000000005</v>
      </c>
      <c r="T8" s="5">
        <f t="shared" si="1"/>
        <v>0</v>
      </c>
    </row>
    <row r="9" spans="1:21" x14ac:dyDescent="0.35">
      <c r="A9" s="2">
        <v>34243</v>
      </c>
      <c r="B9" s="3">
        <v>1928.8</v>
      </c>
      <c r="C9" s="3">
        <v>1617.6</v>
      </c>
      <c r="D9" s="6"/>
      <c r="E9" s="6"/>
      <c r="F9">
        <v>117.073946419466</v>
      </c>
      <c r="G9" s="12">
        <v>376.72470399999997</v>
      </c>
      <c r="H9" s="13">
        <v>285.08371199999999</v>
      </c>
      <c r="I9" s="13">
        <v>526.86458421709381</v>
      </c>
      <c r="J9" s="13">
        <v>53.82</v>
      </c>
      <c r="K9" s="10">
        <v>14570</v>
      </c>
      <c r="L9" s="13">
        <v>143.71449898192404</v>
      </c>
      <c r="M9" s="10">
        <v>949.95508410374237</v>
      </c>
      <c r="N9" s="10">
        <v>691.96966010374229</v>
      </c>
      <c r="O9" s="10">
        <v>597.63070490472455</v>
      </c>
      <c r="P9" s="8"/>
      <c r="Q9" s="8"/>
      <c r="R9" t="s">
        <v>12</v>
      </c>
      <c r="S9" s="5">
        <f t="shared" si="0"/>
        <v>53.820000000000036</v>
      </c>
      <c r="T9" s="5">
        <f t="shared" si="1"/>
        <v>0</v>
      </c>
    </row>
    <row r="10" spans="1:21" x14ac:dyDescent="0.35">
      <c r="A10" s="2">
        <v>34425</v>
      </c>
      <c r="B10" s="3">
        <v>261.7</v>
      </c>
      <c r="C10" s="3">
        <v>144.30000000000001</v>
      </c>
      <c r="D10" s="9"/>
      <c r="E10" s="6"/>
      <c r="F10">
        <v>143.50859042439967</v>
      </c>
      <c r="G10" s="12">
        <v>66.202752000000004</v>
      </c>
      <c r="H10" s="13">
        <v>97.705728000000008</v>
      </c>
      <c r="I10" s="13">
        <v>191.46872183920803</v>
      </c>
      <c r="J10" s="13">
        <v>112.29</v>
      </c>
      <c r="K10" s="10">
        <v>12400</v>
      </c>
      <c r="L10" s="13">
        <v>192.69351816079197</v>
      </c>
      <c r="M10" s="10">
        <v>278.98948799999988</v>
      </c>
      <c r="N10" s="10">
        <v>129.41774399999991</v>
      </c>
      <c r="O10" s="10">
        <v>0</v>
      </c>
      <c r="P10" s="8"/>
      <c r="Q10" s="8"/>
      <c r="R10" t="s">
        <v>11</v>
      </c>
      <c r="S10" s="5">
        <f t="shared" si="0"/>
        <v>112.28999999999988</v>
      </c>
      <c r="T10" s="5">
        <f t="shared" si="1"/>
        <v>-1.2789769243681803E-13</v>
      </c>
    </row>
    <row r="11" spans="1:21" x14ac:dyDescent="0.35">
      <c r="A11" s="2">
        <v>34608</v>
      </c>
      <c r="B11" s="3">
        <v>942.5</v>
      </c>
      <c r="C11" s="3">
        <v>942.5</v>
      </c>
      <c r="D11" s="6"/>
      <c r="E11" s="6"/>
      <c r="F11">
        <v>161.12481840969812</v>
      </c>
      <c r="G11" s="12">
        <v>208.90710079999999</v>
      </c>
      <c r="H11" s="13">
        <v>149.27478400000001</v>
      </c>
      <c r="I11" s="13">
        <v>315.38090988354281</v>
      </c>
      <c r="J11" s="13">
        <v>73.319999999999993</v>
      </c>
      <c r="K11" s="10">
        <v>13880</v>
      </c>
      <c r="L11" s="13">
        <v>269.04669171645725</v>
      </c>
      <c r="M11" s="10">
        <v>403.19050080000011</v>
      </c>
      <c r="N11" s="10">
        <v>314.01443999999998</v>
      </c>
      <c r="O11" s="10">
        <v>30.37</v>
      </c>
      <c r="P11" s="8"/>
      <c r="Q11" s="8"/>
      <c r="R11" t="s">
        <v>12</v>
      </c>
      <c r="S11" s="5">
        <f t="shared" si="0"/>
        <v>73.319999999999851</v>
      </c>
      <c r="T11" s="5">
        <f t="shared" si="1"/>
        <v>-1.4210854715202004E-13</v>
      </c>
    </row>
    <row r="12" spans="1:21" x14ac:dyDescent="0.35">
      <c r="A12" s="2">
        <v>34790</v>
      </c>
      <c r="B12" s="3">
        <v>323.35000000000002</v>
      </c>
      <c r="C12" s="3">
        <v>377.05</v>
      </c>
      <c r="D12" s="9"/>
      <c r="E12" s="6"/>
      <c r="F12">
        <v>149.46204829800607</v>
      </c>
      <c r="G12" s="12">
        <v>261.87051200000002</v>
      </c>
      <c r="H12" s="13">
        <v>159.27207999999999</v>
      </c>
      <c r="I12" s="13">
        <v>227.50659258662591</v>
      </c>
      <c r="J12" s="13">
        <v>70.62</v>
      </c>
      <c r="K12" s="10">
        <v>7891</v>
      </c>
      <c r="L12" s="13">
        <v>132.88120901337416</v>
      </c>
      <c r="M12" s="10">
        <v>100.25728959999999</v>
      </c>
      <c r="N12" s="10">
        <v>68.617257600000045</v>
      </c>
      <c r="O12" s="10">
        <v>10.36</v>
      </c>
      <c r="P12" s="8"/>
      <c r="Q12" s="8"/>
      <c r="R12" t="s">
        <v>11</v>
      </c>
      <c r="S12" s="5">
        <f t="shared" si="0"/>
        <v>70.620000000000061</v>
      </c>
      <c r="T12" s="5">
        <f t="shared" si="1"/>
        <v>0</v>
      </c>
    </row>
    <row r="13" spans="1:21" x14ac:dyDescent="0.35">
      <c r="A13" s="2">
        <v>34973</v>
      </c>
      <c r="B13" s="3">
        <v>570.63</v>
      </c>
      <c r="C13" s="3">
        <v>497.83</v>
      </c>
      <c r="D13" s="6"/>
      <c r="E13" s="6"/>
      <c r="F13">
        <v>185.6693460756328</v>
      </c>
      <c r="G13" s="12">
        <v>240.71899999999999</v>
      </c>
      <c r="H13" s="13">
        <v>187.767</v>
      </c>
      <c r="I13" s="13">
        <v>237.42660000000001</v>
      </c>
      <c r="J13" s="13">
        <v>62</v>
      </c>
      <c r="K13" s="10">
        <v>14170</v>
      </c>
      <c r="L13" s="13">
        <v>202.05040000000002</v>
      </c>
      <c r="M13" s="10">
        <v>166.41800000000001</v>
      </c>
      <c r="N13" s="10">
        <v>147.87299999999999</v>
      </c>
      <c r="O13" s="10">
        <v>17.100000000000001</v>
      </c>
      <c r="P13" s="8"/>
      <c r="Q13" s="8"/>
      <c r="R13" t="s">
        <v>12</v>
      </c>
      <c r="S13" s="5">
        <f t="shared" si="0"/>
        <v>61.999999999999915</v>
      </c>
      <c r="T13" s="5">
        <f t="shared" si="1"/>
        <v>-8.5265128291212022E-14</v>
      </c>
      <c r="U13" s="5"/>
    </row>
    <row r="14" spans="1:21" x14ac:dyDescent="0.35">
      <c r="A14" s="2">
        <v>35156</v>
      </c>
      <c r="B14" s="3">
        <v>602.79999999999995</v>
      </c>
      <c r="C14" s="3">
        <v>450.6</v>
      </c>
      <c r="D14" s="9"/>
      <c r="E14" s="6"/>
      <c r="F14">
        <v>148.46772819631261</v>
      </c>
      <c r="G14" s="12">
        <v>166.33199999999999</v>
      </c>
      <c r="H14" s="13">
        <v>75.543999999999997</v>
      </c>
      <c r="I14" s="13">
        <v>109.79259999999996</v>
      </c>
      <c r="J14" s="13">
        <v>12.56</v>
      </c>
      <c r="K14" s="10">
        <v>3700</v>
      </c>
      <c r="L14" s="13">
        <v>54.557399999999994</v>
      </c>
      <c r="M14" s="10">
        <v>55.057999999999957</v>
      </c>
      <c r="N14" s="10">
        <v>45.695999999999977</v>
      </c>
      <c r="O14" s="10">
        <v>0</v>
      </c>
      <c r="P14" s="8"/>
      <c r="Q14" s="8"/>
      <c r="R14" t="s">
        <v>11</v>
      </c>
      <c r="S14" s="5">
        <f t="shared" si="0"/>
        <v>12.559999999999974</v>
      </c>
      <c r="T14" s="5">
        <f t="shared" si="1"/>
        <v>-2.6645352591003757E-14</v>
      </c>
      <c r="U14" s="5"/>
    </row>
    <row r="15" spans="1:21" x14ac:dyDescent="0.35">
      <c r="A15" s="2">
        <v>35339</v>
      </c>
      <c r="B15" s="3">
        <v>555.9</v>
      </c>
      <c r="C15" s="3">
        <v>653.5</v>
      </c>
      <c r="D15" s="6"/>
      <c r="E15" s="6"/>
      <c r="F15">
        <v>179.03277958341619</v>
      </c>
      <c r="G15" s="12">
        <v>241.49</v>
      </c>
      <c r="H15" s="13">
        <v>210.74100000000001</v>
      </c>
      <c r="I15" s="13">
        <v>273.77751440000168</v>
      </c>
      <c r="J15" s="13">
        <v>69.599999999999994</v>
      </c>
      <c r="K15" s="10">
        <v>14168</v>
      </c>
      <c r="L15" s="13">
        <v>198.3426</v>
      </c>
      <c r="M15" s="10">
        <v>170.21011440000169</v>
      </c>
      <c r="N15" s="10">
        <v>148.4388839900017</v>
      </c>
      <c r="O15" s="10">
        <v>0</v>
      </c>
      <c r="P15" s="8"/>
      <c r="Q15" s="8"/>
      <c r="R15" t="s">
        <v>12</v>
      </c>
      <c r="S15" s="5">
        <f t="shared" si="0"/>
        <v>69.599999999999994</v>
      </c>
      <c r="T15" s="5">
        <f t="shared" si="1"/>
        <v>0</v>
      </c>
      <c r="U15" s="5"/>
    </row>
    <row r="16" spans="1:21" x14ac:dyDescent="0.35">
      <c r="A16" s="2">
        <v>35521</v>
      </c>
      <c r="B16" s="3">
        <v>369.7</v>
      </c>
      <c r="C16" s="3">
        <v>309.60000000000002</v>
      </c>
      <c r="D16" s="9"/>
      <c r="E16" s="6"/>
      <c r="F16">
        <v>146.45801746804975</v>
      </c>
      <c r="G16" s="12">
        <v>184.364</v>
      </c>
      <c r="H16" s="13">
        <v>139.80699999999999</v>
      </c>
      <c r="I16" s="13">
        <v>206.7552</v>
      </c>
      <c r="J16" s="13">
        <v>9.18</v>
      </c>
      <c r="K16" s="10">
        <v>1921</v>
      </c>
      <c r="L16" s="13">
        <v>11.572800000000001</v>
      </c>
      <c r="M16" s="10">
        <v>61.744000000000028</v>
      </c>
      <c r="N16" s="10">
        <v>41.443000000000033</v>
      </c>
      <c r="O16" s="10">
        <v>0</v>
      </c>
      <c r="P16" s="8"/>
      <c r="Q16" s="8"/>
      <c r="R16" t="s">
        <v>11</v>
      </c>
      <c r="S16" s="5">
        <f t="shared" si="0"/>
        <v>9.1800000000000068</v>
      </c>
      <c r="T16" s="5">
        <f t="shared" si="1"/>
        <v>0</v>
      </c>
      <c r="U16" s="5"/>
    </row>
    <row r="17" spans="1:21" x14ac:dyDescent="0.35">
      <c r="A17" s="2">
        <v>35704</v>
      </c>
      <c r="B17" s="3">
        <v>1165.9000000000001</v>
      </c>
      <c r="C17" s="3">
        <v>1230.7</v>
      </c>
      <c r="D17" s="6"/>
      <c r="E17" s="6"/>
      <c r="F17">
        <v>141.3400873424626</v>
      </c>
      <c r="G17" s="12">
        <v>311.57799999999997</v>
      </c>
      <c r="H17" s="13">
        <v>248.30500000000001</v>
      </c>
      <c r="I17" s="13">
        <v>315.49700000000001</v>
      </c>
      <c r="J17" s="13">
        <v>36.96</v>
      </c>
      <c r="K17" s="10">
        <v>14035</v>
      </c>
      <c r="L17" s="13">
        <v>207.81599999999997</v>
      </c>
      <c r="M17" s="10">
        <v>322.51900000000001</v>
      </c>
      <c r="N17" s="10">
        <v>294.834</v>
      </c>
      <c r="O17" s="10">
        <v>97.963999999999999</v>
      </c>
      <c r="P17" s="8"/>
      <c r="Q17" s="8"/>
      <c r="R17" t="s">
        <v>12</v>
      </c>
      <c r="S17" s="5">
        <f t="shared" si="0"/>
        <v>36.960000000000036</v>
      </c>
      <c r="T17" s="5">
        <f t="shared" si="1"/>
        <v>0</v>
      </c>
      <c r="U17" s="5"/>
    </row>
    <row r="18" spans="1:21" x14ac:dyDescent="0.35">
      <c r="A18" s="2">
        <v>35886</v>
      </c>
      <c r="B18" s="3">
        <v>440.58</v>
      </c>
      <c r="C18" s="3">
        <v>363.73</v>
      </c>
      <c r="D18" s="9"/>
      <c r="E18" s="6"/>
      <c r="F18">
        <v>145.4739602143961</v>
      </c>
      <c r="G18" s="12">
        <v>246.84100000000001</v>
      </c>
      <c r="H18" s="13">
        <v>148.83600000000001</v>
      </c>
      <c r="I18" s="13">
        <v>183.27280000000002</v>
      </c>
      <c r="J18" s="13">
        <v>49.78</v>
      </c>
      <c r="K18" s="10">
        <v>5495</v>
      </c>
      <c r="L18" s="13">
        <v>76.749200000000002</v>
      </c>
      <c r="M18" s="10">
        <v>49.901000000000018</v>
      </c>
      <c r="N18" s="10">
        <v>38.04</v>
      </c>
      <c r="O18" s="10">
        <v>0</v>
      </c>
      <c r="P18" s="8"/>
      <c r="Q18" s="8"/>
      <c r="R18" t="s">
        <v>11</v>
      </c>
      <c r="S18" s="5">
        <f t="shared" si="0"/>
        <v>49.78000000000003</v>
      </c>
      <c r="T18" s="5">
        <f t="shared" si="1"/>
        <v>0</v>
      </c>
      <c r="U18" s="5"/>
    </row>
    <row r="19" spans="1:21" x14ac:dyDescent="0.35">
      <c r="A19" s="2">
        <v>36069</v>
      </c>
      <c r="B19" s="3">
        <v>888.76</v>
      </c>
      <c r="C19" s="3">
        <v>729.26</v>
      </c>
      <c r="D19" s="6"/>
      <c r="E19" s="6"/>
      <c r="F19">
        <v>123.7831116209032</v>
      </c>
      <c r="G19" s="12">
        <v>283.36700000000002</v>
      </c>
      <c r="H19" s="13">
        <v>223.41900000000001</v>
      </c>
      <c r="I19" s="13">
        <v>278.92920000000004</v>
      </c>
      <c r="J19" s="13">
        <v>86.5</v>
      </c>
      <c r="K19" s="10">
        <v>14050</v>
      </c>
      <c r="L19" s="13">
        <v>152.49279999999999</v>
      </c>
      <c r="M19" s="10">
        <v>195.45500000000001</v>
      </c>
      <c r="N19" s="10">
        <v>156.08600000000001</v>
      </c>
      <c r="O19" s="10">
        <v>18.43</v>
      </c>
      <c r="P19" s="8"/>
      <c r="Q19" s="8"/>
      <c r="R19" t="s">
        <v>12</v>
      </c>
      <c r="S19" s="5">
        <f t="shared" si="0"/>
        <v>86.499999999999972</v>
      </c>
      <c r="T19" s="5">
        <f t="shared" si="1"/>
        <v>0</v>
      </c>
      <c r="U19" s="5"/>
    </row>
    <row r="20" spans="1:21" x14ac:dyDescent="0.35">
      <c r="A20" s="2">
        <v>36251</v>
      </c>
      <c r="B20" s="3">
        <v>93.79</v>
      </c>
      <c r="C20" s="3">
        <v>98.990000000000009</v>
      </c>
      <c r="D20" s="9"/>
      <c r="E20" s="6"/>
      <c r="F20">
        <v>140.56237424329382</v>
      </c>
      <c r="G20" s="12">
        <v>238.28899999999999</v>
      </c>
      <c r="H20" s="13">
        <v>138.26599999999999</v>
      </c>
      <c r="I20" s="13">
        <v>210.99020000000002</v>
      </c>
      <c r="J20" s="13">
        <v>115.47</v>
      </c>
      <c r="K20" s="10">
        <v>8707</v>
      </c>
      <c r="L20" s="13">
        <v>141.91679999999999</v>
      </c>
      <c r="M20" s="10">
        <v>48.088000000000001</v>
      </c>
      <c r="N20" s="10">
        <v>37.542999999999999</v>
      </c>
      <c r="O20" s="10">
        <v>0</v>
      </c>
      <c r="P20" s="8"/>
      <c r="Q20" s="8"/>
      <c r="R20" t="s">
        <v>11</v>
      </c>
      <c r="S20" s="5">
        <f t="shared" si="0"/>
        <v>115.46999999999997</v>
      </c>
      <c r="T20" s="5">
        <f t="shared" si="1"/>
        <v>0</v>
      </c>
      <c r="U20" s="5"/>
    </row>
    <row r="21" spans="1:21" x14ac:dyDescent="0.35">
      <c r="A21" s="2">
        <v>36434</v>
      </c>
      <c r="B21" s="3">
        <v>948.64</v>
      </c>
      <c r="C21" s="3">
        <v>674.97</v>
      </c>
      <c r="D21" s="6"/>
      <c r="E21" s="6"/>
      <c r="F21">
        <v>140.84865529124912</v>
      </c>
      <c r="G21" s="12">
        <v>315.05700000000002</v>
      </c>
      <c r="H21" s="13">
        <v>230.12899999999999</v>
      </c>
      <c r="I21" s="13">
        <v>388.93599999999998</v>
      </c>
      <c r="J21" s="13">
        <v>48.94</v>
      </c>
      <c r="K21" s="10">
        <v>13975</v>
      </c>
      <c r="L21" s="13">
        <v>118.45800000000001</v>
      </c>
      <c r="M21" s="10">
        <v>272.64100000000002</v>
      </c>
      <c r="N21" s="10">
        <v>109.97499999999999</v>
      </c>
      <c r="O21" s="10">
        <v>19.103999999999999</v>
      </c>
      <c r="P21" s="8"/>
      <c r="Q21" s="8"/>
      <c r="R21" t="s">
        <v>12</v>
      </c>
      <c r="S21" s="5">
        <f t="shared" si="0"/>
        <v>48.940000000000026</v>
      </c>
      <c r="T21" s="5">
        <f t="shared" si="1"/>
        <v>0</v>
      </c>
      <c r="U21" s="5"/>
    </row>
    <row r="22" spans="1:21" x14ac:dyDescent="0.35">
      <c r="A22" s="2">
        <v>36617</v>
      </c>
      <c r="B22" s="3">
        <v>250.6</v>
      </c>
      <c r="C22" s="3">
        <v>157.57</v>
      </c>
      <c r="D22" s="9"/>
      <c r="E22" s="6"/>
      <c r="F22">
        <v>152.23215426921726</v>
      </c>
      <c r="G22" s="12">
        <v>209.47800000000001</v>
      </c>
      <c r="H22" s="13">
        <v>102.91800000000001</v>
      </c>
      <c r="I22" s="13">
        <v>211.8492</v>
      </c>
      <c r="J22" s="13">
        <v>110.14</v>
      </c>
      <c r="K22" s="10">
        <v>6985</v>
      </c>
      <c r="L22" s="13">
        <v>94.085800000000006</v>
      </c>
      <c r="M22" s="10">
        <v>49.167000000000009</v>
      </c>
      <c r="N22" s="10">
        <v>32.13000000000001</v>
      </c>
      <c r="O22" s="10">
        <v>0</v>
      </c>
      <c r="P22" s="8"/>
      <c r="Q22" s="8"/>
      <c r="R22" t="s">
        <v>11</v>
      </c>
      <c r="S22" s="5">
        <f t="shared" si="0"/>
        <v>110.14000000000006</v>
      </c>
      <c r="T22" s="5">
        <f t="shared" si="1"/>
        <v>0</v>
      </c>
      <c r="U22" s="5"/>
    </row>
    <row r="23" spans="1:21" x14ac:dyDescent="0.35">
      <c r="A23" s="2">
        <v>36800</v>
      </c>
      <c r="B23">
        <v>612.51</v>
      </c>
      <c r="C23" s="10">
        <v>516.61</v>
      </c>
      <c r="F23">
        <v>146.99233406738199</v>
      </c>
      <c r="G23" s="10">
        <v>330.70800000000003</v>
      </c>
      <c r="H23" s="10">
        <v>237.65899999999999</v>
      </c>
      <c r="I23" s="10">
        <v>289.43340000000001</v>
      </c>
      <c r="J23" s="10">
        <v>62.85</v>
      </c>
      <c r="K23" s="10">
        <v>13870</v>
      </c>
      <c r="L23" s="13">
        <v>147.14159999999998</v>
      </c>
      <c r="M23" s="10">
        <v>209.756</v>
      </c>
      <c r="N23">
        <v>111.682</v>
      </c>
      <c r="O23" s="10">
        <v>97.079000000000008</v>
      </c>
      <c r="R23" t="s">
        <v>12</v>
      </c>
      <c r="S23" s="5">
        <f t="shared" si="0"/>
        <v>62.850000000000023</v>
      </c>
      <c r="T23" s="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Prabhath Romitha</cp:lastModifiedBy>
  <dcterms:created xsi:type="dcterms:W3CDTF">2015-06-05T18:17:20Z</dcterms:created>
  <dcterms:modified xsi:type="dcterms:W3CDTF">2025-05-09T15:24:59Z</dcterms:modified>
</cp:coreProperties>
</file>