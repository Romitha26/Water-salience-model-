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zb_25h_8339_s_thers_ac_jp/Documents/Research/SDM/SDM modelling/Simulation work/Improve_simulations/NJG 1990-2000/"/>
    </mc:Choice>
  </mc:AlternateContent>
  <xr:revisionPtr revIDLastSave="420" documentId="8_{7441006D-DAAE-4370-A515-D45F5665C5BD}" xr6:coauthVersionLast="47" xr6:coauthVersionMax="47" xr10:uidLastSave="{EBFCE862-B538-470C-8DE5-04EEB4405162}"/>
  <bookViews>
    <workbookView xWindow="-110" yWindow="-110" windowWidth="19420" windowHeight="11020" xr2:uid="{00000000-000D-0000-FFFF-FFFF00000000}"/>
  </bookViews>
  <sheets>
    <sheet name="2001-2011" sheetId="1" r:id="rId1"/>
  </sheets>
  <definedNames>
    <definedName name="_xlnm._FilterDatabase" localSheetId="0" hidden="1">'2001-2011'!$A$1:$R$22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/>
  <c r="S14" i="1"/>
  <c r="T14" i="1"/>
  <c r="S15" i="1"/>
  <c r="T15" i="1"/>
  <c r="S16" i="1"/>
  <c r="T16" i="1" s="1"/>
  <c r="S17" i="1"/>
  <c r="T17" i="1" s="1"/>
  <c r="S18" i="1"/>
  <c r="T18" i="1"/>
  <c r="S19" i="1"/>
  <c r="T19" i="1"/>
  <c r="S20" i="1"/>
  <c r="T20" i="1" s="1"/>
  <c r="S21" i="1"/>
  <c r="T21" i="1"/>
  <c r="S22" i="1"/>
  <c r="T22" i="1" s="1"/>
  <c r="S23" i="1"/>
  <c r="T23" i="1"/>
</calcChain>
</file>

<file path=xl/sharedStrings.xml><?xml version="1.0" encoding="utf-8"?>
<sst xmlns="http://schemas.openxmlformats.org/spreadsheetml/2006/main" count="40" uniqueCount="20">
  <si>
    <t>Date</t>
  </si>
  <si>
    <t>Diversion</t>
  </si>
  <si>
    <t>Allocation</t>
  </si>
  <si>
    <t>Precipitation_seasonal</t>
  </si>
  <si>
    <t>Precipitation_check</t>
  </si>
  <si>
    <t>Observed_storage</t>
  </si>
  <si>
    <t>Observed_cultivation_area</t>
  </si>
  <si>
    <t>Observed_demand</t>
  </si>
  <si>
    <t>Catchment_inflow</t>
  </si>
  <si>
    <t>Spillage</t>
  </si>
  <si>
    <t>Season</t>
  </si>
  <si>
    <t>Dry</t>
  </si>
  <si>
    <t>Wet</t>
  </si>
  <si>
    <t>Diversion_check</t>
  </si>
  <si>
    <t>Catchment_inflow_check</t>
  </si>
  <si>
    <t>Ref_evapotranspiration_seasonal (NA)</t>
  </si>
  <si>
    <t>Precipitation_seasonal_check (NA)</t>
  </si>
  <si>
    <t>Observed_rice_area (NA)</t>
  </si>
  <si>
    <t>Observed_other_area (NA)</t>
  </si>
  <si>
    <t>Ref_evapotranspiration_avg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</si>
</sst>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1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/>
    <xf numFmtId="1" fontId="4" fillId="0" borderId="0" xfId="0" applyNumberFormat="1" applyFont="1" applyAlignment="1">
      <alignment horizontal="right"/>
    </xf>
    <xf numFmtId="1" fontId="3" fillId="0" borderId="0" xfId="0" applyNumberFormat="1" applyFont="1"/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164" fontId="1" fillId="0" borderId="0" xfId="0" applyNumberFormat="1" applyFont="1" applyAlignment="1">
      <alignment horizontal="right"/>
    </xf>
    <xf numFmtId="0" fontId="1" fillId="0" borderId="0" xfId="1" applyFont="1"/>
    <xf numFmtId="165" fontId="1" fillId="0" borderId="0" xfId="2" applyNumberFormat="1" applyFont="1" applyBorder="1"/>
  </cellXfs>
  <cellStyles count="3">
    <cellStyle name="Comma 2" xfId="2" xr:uid="{C4534010-DAB1-445F-A075-B3BBCBCCC709}"/>
    <cellStyle name="Normal" xfId="0" builtinId="0"/>
    <cellStyle name="Normal 2" xfId="1" xr:uid="{58B907BA-2D76-4509-A55E-1D5722EB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zoomScale="80" zoomScaleNormal="80" workbookViewId="0">
      <selection activeCell="E16" sqref="E16"/>
    </sheetView>
  </sheetViews>
  <sheetFormatPr defaultRowHeight="14.5" x14ac:dyDescent="0.35"/>
  <cols>
    <col min="1" max="1" width="10.7265625" bestFit="1" customWidth="1"/>
    <col min="2" max="3" width="13.54296875" customWidth="1"/>
    <col min="4" max="4" width="15.453125" customWidth="1"/>
    <col min="5" max="5" width="13.54296875" customWidth="1"/>
    <col min="8" max="8" width="9.54296875" bestFit="1" customWidth="1"/>
    <col min="9" max="9" width="12" customWidth="1"/>
    <col min="10" max="10" width="13" customWidth="1"/>
    <col min="12" max="12" width="12.54296875" bestFit="1" customWidth="1"/>
    <col min="13" max="13" width="10.54296875" bestFit="1" customWidth="1"/>
  </cols>
  <sheetData>
    <row r="1" spans="1:21" ht="58" x14ac:dyDescent="0.35">
      <c r="A1" t="s">
        <v>0</v>
      </c>
      <c r="B1" s="10" t="s">
        <v>3</v>
      </c>
      <c r="C1" s="10" t="s">
        <v>4</v>
      </c>
      <c r="D1" s="10" t="s">
        <v>16</v>
      </c>
      <c r="E1" s="10" t="s">
        <v>15</v>
      </c>
      <c r="F1" s="10" t="s">
        <v>19</v>
      </c>
      <c r="G1" s="7" t="s">
        <v>1</v>
      </c>
      <c r="H1" s="11" t="s">
        <v>13</v>
      </c>
      <c r="I1" s="7" t="s">
        <v>2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14</v>
      </c>
      <c r="O1" s="11" t="s">
        <v>9</v>
      </c>
      <c r="P1" s="11" t="s">
        <v>17</v>
      </c>
      <c r="Q1" s="11" t="s">
        <v>18</v>
      </c>
      <c r="R1" s="3" t="s">
        <v>10</v>
      </c>
    </row>
    <row r="2" spans="1:21" x14ac:dyDescent="0.35">
      <c r="A2" s="1">
        <v>36982</v>
      </c>
      <c r="B2" s="12">
        <v>249.2</v>
      </c>
      <c r="C2" s="2">
        <v>193.6</v>
      </c>
      <c r="E2" s="5"/>
      <c r="F2" s="13">
        <v>134.86540376497152</v>
      </c>
      <c r="G2" s="8">
        <v>203.56899999999999</v>
      </c>
      <c r="H2" s="7">
        <v>135.077</v>
      </c>
      <c r="I2" s="9">
        <v>148.87800000000004</v>
      </c>
      <c r="J2" s="9">
        <v>69.66</v>
      </c>
      <c r="K2" s="7">
        <v>9504</v>
      </c>
      <c r="L2" s="9">
        <v>128.27799999999999</v>
      </c>
      <c r="M2" s="7">
        <v>40.927000000000021</v>
      </c>
      <c r="N2" s="7">
        <v>32.845000000000013</v>
      </c>
      <c r="O2" s="7">
        <v>0</v>
      </c>
      <c r="P2" s="6"/>
      <c r="Q2" s="6"/>
      <c r="R2" t="s">
        <v>11</v>
      </c>
    </row>
    <row r="3" spans="1:21" x14ac:dyDescent="0.35">
      <c r="A3" s="1">
        <v>37165</v>
      </c>
      <c r="B3" s="12">
        <v>597.1</v>
      </c>
      <c r="C3" s="2">
        <v>533.9</v>
      </c>
      <c r="E3" s="5"/>
      <c r="F3" s="14">
        <v>149.92013618844041</v>
      </c>
      <c r="G3" s="8">
        <v>278.16500000000002</v>
      </c>
      <c r="H3" s="9">
        <v>225.81700000000001</v>
      </c>
      <c r="I3" s="9">
        <v>203.88200000000001</v>
      </c>
      <c r="J3" s="9">
        <v>37</v>
      </c>
      <c r="K3" s="7">
        <v>13872</v>
      </c>
      <c r="L3" s="9">
        <v>176.00200000000001</v>
      </c>
      <c r="M3" s="7">
        <v>85.028999999999982</v>
      </c>
      <c r="N3" s="7">
        <v>65.893000000000001</v>
      </c>
      <c r="O3" s="7">
        <v>0</v>
      </c>
      <c r="P3" s="6"/>
      <c r="Q3" s="6"/>
      <c r="R3" t="s">
        <v>12</v>
      </c>
      <c r="S3" s="4">
        <f>J2+G2+M2-I2-O2-L2</f>
        <v>36.999999999999972</v>
      </c>
      <c r="T3" s="4">
        <f>S3-J3</f>
        <v>0</v>
      </c>
    </row>
    <row r="4" spans="1:21" x14ac:dyDescent="0.35">
      <c r="A4" s="1">
        <v>37347</v>
      </c>
      <c r="B4" s="12">
        <v>334.99</v>
      </c>
      <c r="C4" s="2">
        <v>342.49</v>
      </c>
      <c r="E4" s="5"/>
      <c r="F4" s="14">
        <v>150.70885800320517</v>
      </c>
      <c r="G4" s="8">
        <v>203.874</v>
      </c>
      <c r="H4" s="9">
        <v>140.04599999999999</v>
      </c>
      <c r="I4" s="9">
        <v>215.10020000000003</v>
      </c>
      <c r="J4" s="9">
        <v>20.309999999999999</v>
      </c>
      <c r="K4" s="7">
        <v>2498</v>
      </c>
      <c r="L4" s="9">
        <v>3.9438000000000031</v>
      </c>
      <c r="M4" s="7">
        <v>36.340000000000032</v>
      </c>
      <c r="N4" s="7">
        <v>32.60600000000003</v>
      </c>
      <c r="O4" s="7">
        <v>0</v>
      </c>
      <c r="P4" s="6"/>
      <c r="Q4" s="6"/>
      <c r="R4" t="s">
        <v>11</v>
      </c>
      <c r="S4" s="4">
        <f t="shared" ref="S4:S23" si="0">J3+G3+M3-I3-O3-L3</f>
        <v>20.310000000000002</v>
      </c>
      <c r="T4" s="4">
        <f t="shared" ref="T4:T23" si="1">S4-J4</f>
        <v>0</v>
      </c>
    </row>
    <row r="5" spans="1:21" x14ac:dyDescent="0.35">
      <c r="A5" s="1">
        <v>37530</v>
      </c>
      <c r="B5" s="12">
        <v>881.18600000000004</v>
      </c>
      <c r="C5" s="2">
        <v>872.5</v>
      </c>
      <c r="E5" s="5"/>
      <c r="F5" s="14">
        <v>126.56317858350877</v>
      </c>
      <c r="G5" s="8">
        <v>267.97199999999998</v>
      </c>
      <c r="H5" s="9">
        <v>209.46799999999999</v>
      </c>
      <c r="I5" s="9">
        <v>169.05719999999997</v>
      </c>
      <c r="J5" s="9">
        <v>41.48</v>
      </c>
      <c r="K5" s="7">
        <v>14048</v>
      </c>
      <c r="L5" s="9">
        <v>123.0668</v>
      </c>
      <c r="M5" s="7">
        <v>276.00900000000001</v>
      </c>
      <c r="N5" s="7">
        <v>234.47499999999999</v>
      </c>
      <c r="O5" s="7">
        <v>183.887</v>
      </c>
      <c r="P5" s="6"/>
      <c r="Q5" s="6"/>
      <c r="R5" t="s">
        <v>12</v>
      </c>
      <c r="S5" s="4">
        <f t="shared" si="0"/>
        <v>41.479999999999968</v>
      </c>
      <c r="T5" s="4">
        <f t="shared" si="1"/>
        <v>0</v>
      </c>
    </row>
    <row r="6" spans="1:21" x14ac:dyDescent="0.35">
      <c r="A6" s="1">
        <v>37712</v>
      </c>
      <c r="B6" s="12">
        <v>156.30000000000001</v>
      </c>
      <c r="C6" s="2">
        <v>154.48599999999999</v>
      </c>
      <c r="F6" s="7">
        <v>141.44634735911168</v>
      </c>
      <c r="G6" s="8">
        <v>201.99700000000001</v>
      </c>
      <c r="H6" s="9">
        <v>166.55600000000001</v>
      </c>
      <c r="I6" s="9">
        <v>190.96279999999999</v>
      </c>
      <c r="J6" s="9">
        <v>109.45</v>
      </c>
      <c r="K6" s="7">
        <v>11774</v>
      </c>
      <c r="L6" s="9">
        <v>95.442200000000014</v>
      </c>
      <c r="M6" s="7">
        <v>13.82799999999998</v>
      </c>
      <c r="N6" s="7">
        <v>12.95599999999998</v>
      </c>
      <c r="O6" s="7">
        <v>0</v>
      </c>
      <c r="P6" s="6"/>
      <c r="Q6" s="6"/>
      <c r="R6" t="s">
        <v>11</v>
      </c>
      <c r="S6" s="4">
        <f t="shared" si="0"/>
        <v>109.45000000000005</v>
      </c>
      <c r="T6" s="4">
        <f t="shared" si="1"/>
        <v>0</v>
      </c>
    </row>
    <row r="7" spans="1:21" x14ac:dyDescent="0.35">
      <c r="A7" s="1">
        <v>37895</v>
      </c>
      <c r="B7" s="12">
        <v>271.3</v>
      </c>
      <c r="C7" s="2">
        <v>279.89999999999998</v>
      </c>
      <c r="F7">
        <v>162.89034428778584</v>
      </c>
      <c r="G7" s="8">
        <v>237.93299999999999</v>
      </c>
      <c r="H7" s="9">
        <v>209.886</v>
      </c>
      <c r="I7" s="9">
        <v>166.56479999999999</v>
      </c>
      <c r="J7" s="9">
        <v>38.869999999999997</v>
      </c>
      <c r="K7" s="7">
        <v>14044</v>
      </c>
      <c r="L7" s="9">
        <v>147.5402</v>
      </c>
      <c r="M7" s="7">
        <v>47.10199999999999</v>
      </c>
      <c r="N7" s="7">
        <v>40.978999999999978</v>
      </c>
      <c r="O7" s="7">
        <v>0</v>
      </c>
      <c r="P7" s="6"/>
      <c r="Q7" s="6"/>
      <c r="R7" t="s">
        <v>12</v>
      </c>
      <c r="S7" s="4">
        <f t="shared" si="0"/>
        <v>38.869999999999976</v>
      </c>
      <c r="T7" s="4">
        <f t="shared" si="1"/>
        <v>0</v>
      </c>
    </row>
    <row r="8" spans="1:21" x14ac:dyDescent="0.35">
      <c r="A8" s="1">
        <v>38078</v>
      </c>
      <c r="B8" s="12">
        <v>531.13</v>
      </c>
      <c r="C8" s="2">
        <v>284.64999999999998</v>
      </c>
      <c r="F8">
        <v>146.623115587239</v>
      </c>
      <c r="G8" s="8">
        <v>216.435</v>
      </c>
      <c r="H8" s="9">
        <v>144.72999999999999</v>
      </c>
      <c r="I8" s="9">
        <v>176.0284</v>
      </c>
      <c r="J8" s="9">
        <v>9.8000000000000007</v>
      </c>
      <c r="K8" s="7">
        <v>3702</v>
      </c>
      <c r="L8" s="9">
        <v>41.506599999999999</v>
      </c>
      <c r="M8" s="7">
        <v>21.810000000000009</v>
      </c>
      <c r="N8" s="7">
        <v>16.024000000000001</v>
      </c>
      <c r="O8" s="7">
        <v>0</v>
      </c>
      <c r="P8" s="6"/>
      <c r="Q8" s="6"/>
      <c r="R8" t="s">
        <v>11</v>
      </c>
      <c r="S8" s="4">
        <f t="shared" si="0"/>
        <v>9.7999999999999829</v>
      </c>
      <c r="T8" s="4">
        <f t="shared" si="1"/>
        <v>-1.7763568394002505E-14</v>
      </c>
    </row>
    <row r="9" spans="1:21" x14ac:dyDescent="0.35">
      <c r="A9" s="1">
        <v>38261</v>
      </c>
      <c r="B9" s="12">
        <v>1024.8599999999999</v>
      </c>
      <c r="C9" s="2">
        <v>1247.6400000000001</v>
      </c>
      <c r="F9">
        <v>132.1204789014381</v>
      </c>
      <c r="G9" s="8">
        <v>343.83100000000002</v>
      </c>
      <c r="H9" s="9">
        <v>274.99099999999999</v>
      </c>
      <c r="I9" s="9">
        <v>266.33459999999991</v>
      </c>
      <c r="J9" s="9">
        <v>30.51</v>
      </c>
      <c r="K9" s="7">
        <v>14004</v>
      </c>
      <c r="L9" s="9">
        <v>102.6674</v>
      </c>
      <c r="M9" s="7">
        <v>155.68599999999989</v>
      </c>
      <c r="N9" s="7">
        <v>149.96299999999991</v>
      </c>
      <c r="O9" s="7">
        <v>76.234999999999999</v>
      </c>
      <c r="P9" s="6"/>
      <c r="Q9" s="6"/>
      <c r="R9" t="s">
        <v>12</v>
      </c>
      <c r="S9" s="4">
        <f t="shared" si="0"/>
        <v>30.510000000000012</v>
      </c>
      <c r="T9" s="4">
        <f t="shared" si="1"/>
        <v>0</v>
      </c>
    </row>
    <row r="10" spans="1:21" x14ac:dyDescent="0.35">
      <c r="A10" s="1">
        <v>38443</v>
      </c>
      <c r="B10" s="12">
        <v>405.94</v>
      </c>
      <c r="C10" s="2">
        <v>424.57000000000011</v>
      </c>
      <c r="F10">
        <v>142.37821554867551</v>
      </c>
      <c r="G10" s="8">
        <v>294.35300000000001</v>
      </c>
      <c r="H10" s="9">
        <v>195.43</v>
      </c>
      <c r="I10" s="9">
        <v>232.29320000000004</v>
      </c>
      <c r="J10" s="9">
        <v>84.79</v>
      </c>
      <c r="K10" s="7">
        <v>12591</v>
      </c>
      <c r="L10" s="9">
        <v>137.46279999999999</v>
      </c>
      <c r="M10" s="7">
        <v>44.372999999999998</v>
      </c>
      <c r="N10" s="7">
        <v>41.392999999999986</v>
      </c>
      <c r="O10" s="7">
        <v>0</v>
      </c>
      <c r="P10" s="6"/>
      <c r="Q10" s="6"/>
      <c r="R10" t="s">
        <v>11</v>
      </c>
      <c r="S10" s="4">
        <f t="shared" si="0"/>
        <v>84.79</v>
      </c>
      <c r="T10" s="4">
        <f t="shared" si="1"/>
        <v>0</v>
      </c>
    </row>
    <row r="11" spans="1:21" x14ac:dyDescent="0.35">
      <c r="A11" s="1">
        <v>38626</v>
      </c>
      <c r="B11" s="12">
        <v>1259.1500000000001</v>
      </c>
      <c r="C11" s="2">
        <v>1052.5</v>
      </c>
      <c r="F11">
        <v>118.34214281124923</v>
      </c>
      <c r="G11" s="8">
        <v>269.75099999999998</v>
      </c>
      <c r="H11" s="9">
        <v>238.54400000000001</v>
      </c>
      <c r="I11" s="9">
        <v>227.73498768310486</v>
      </c>
      <c r="J11" s="9">
        <v>53.76</v>
      </c>
      <c r="K11" s="7">
        <v>14010</v>
      </c>
      <c r="L11" s="9">
        <v>87.700400000000002</v>
      </c>
      <c r="M11" s="7">
        <v>191.70638768310491</v>
      </c>
      <c r="N11" s="7">
        <v>160.1333876831049</v>
      </c>
      <c r="O11" s="7">
        <v>82.682000000000002</v>
      </c>
      <c r="P11" s="6"/>
      <c r="Q11" s="6"/>
      <c r="R11" t="s">
        <v>12</v>
      </c>
      <c r="S11" s="4">
        <f t="shared" si="0"/>
        <v>53.759999999999991</v>
      </c>
      <c r="T11" s="4">
        <f t="shared" si="1"/>
        <v>0</v>
      </c>
    </row>
    <row r="12" spans="1:21" x14ac:dyDescent="0.35">
      <c r="A12" s="1">
        <v>38808</v>
      </c>
      <c r="B12" s="12">
        <v>284.85000000000002</v>
      </c>
      <c r="C12" s="2">
        <v>415.18</v>
      </c>
      <c r="F12">
        <v>143.36414894376958</v>
      </c>
      <c r="G12" s="8">
        <v>316.62099999999998</v>
      </c>
      <c r="H12" s="9">
        <v>227.667</v>
      </c>
      <c r="I12" s="9">
        <v>222.45239999999998</v>
      </c>
      <c r="J12" s="9">
        <v>117.1</v>
      </c>
      <c r="K12" s="7">
        <v>13276</v>
      </c>
      <c r="L12" s="9">
        <v>180.11160000000001</v>
      </c>
      <c r="M12" s="7">
        <v>17.593</v>
      </c>
      <c r="N12" s="7">
        <v>17.146999999999998</v>
      </c>
      <c r="O12" s="7">
        <v>0</v>
      </c>
      <c r="P12" s="6"/>
      <c r="Q12" s="6"/>
      <c r="R12" t="s">
        <v>11</v>
      </c>
      <c r="S12" s="4">
        <f t="shared" si="0"/>
        <v>117.10000000000002</v>
      </c>
      <c r="T12" s="4">
        <f t="shared" si="1"/>
        <v>0</v>
      </c>
    </row>
    <row r="13" spans="1:21" x14ac:dyDescent="0.35">
      <c r="A13" s="1">
        <v>38991</v>
      </c>
      <c r="B13" s="12">
        <v>920.99</v>
      </c>
      <c r="C13" s="2">
        <v>901.19</v>
      </c>
      <c r="F13">
        <v>138.57618271873207</v>
      </c>
      <c r="G13" s="8">
        <v>309.589</v>
      </c>
      <c r="H13" s="9">
        <v>226.88200000000001</v>
      </c>
      <c r="I13" s="9">
        <v>234.392</v>
      </c>
      <c r="J13" s="9">
        <v>48.75</v>
      </c>
      <c r="K13" s="7">
        <v>14006</v>
      </c>
      <c r="L13" s="9">
        <v>132.74700000000001</v>
      </c>
      <c r="M13" s="7">
        <v>103.10599999999999</v>
      </c>
      <c r="N13" s="7">
        <v>85.319999999999965</v>
      </c>
      <c r="O13" s="7">
        <v>6.6000000000000003E-2</v>
      </c>
      <c r="P13" s="6"/>
      <c r="Q13" s="6"/>
      <c r="R13" t="s">
        <v>12</v>
      </c>
      <c r="S13" s="4">
        <f t="shared" si="0"/>
        <v>48.750000000000028</v>
      </c>
      <c r="T13" s="4">
        <f t="shared" si="1"/>
        <v>0</v>
      </c>
      <c r="U13" s="4"/>
    </row>
    <row r="14" spans="1:21" x14ac:dyDescent="0.35">
      <c r="A14" s="1">
        <v>39173</v>
      </c>
      <c r="B14" s="12">
        <v>295.05</v>
      </c>
      <c r="C14" s="2">
        <v>232.35</v>
      </c>
      <c r="F14">
        <v>135.76660223773447</v>
      </c>
      <c r="G14" s="8">
        <v>255.49700000000001</v>
      </c>
      <c r="H14" s="9">
        <v>194.911</v>
      </c>
      <c r="I14" s="9">
        <v>220.03620000000001</v>
      </c>
      <c r="J14" s="9">
        <v>94.24</v>
      </c>
      <c r="K14" s="7">
        <v>12770</v>
      </c>
      <c r="L14" s="9">
        <v>124.8618</v>
      </c>
      <c r="M14" s="7">
        <v>13.061000000000011</v>
      </c>
      <c r="N14" s="7">
        <v>9.2590000000000074</v>
      </c>
      <c r="O14" s="7">
        <v>0</v>
      </c>
      <c r="P14" s="6"/>
      <c r="Q14" s="6"/>
      <c r="R14" t="s">
        <v>11</v>
      </c>
      <c r="S14" s="4">
        <f t="shared" si="0"/>
        <v>94.239999999999981</v>
      </c>
      <c r="T14" s="4">
        <f t="shared" si="1"/>
        <v>0</v>
      </c>
      <c r="U14" s="4"/>
    </row>
    <row r="15" spans="1:21" x14ac:dyDescent="0.35">
      <c r="A15" s="1">
        <v>39356</v>
      </c>
      <c r="B15" s="12">
        <v>1770.25</v>
      </c>
      <c r="C15" s="2">
        <v>1284.25</v>
      </c>
      <c r="F15">
        <v>122.06785103374735</v>
      </c>
      <c r="G15" s="8">
        <v>345.59899999999999</v>
      </c>
      <c r="H15" s="9">
        <v>262.971</v>
      </c>
      <c r="I15" s="9">
        <v>256.27859999999998</v>
      </c>
      <c r="J15" s="9">
        <v>17.899999999999999</v>
      </c>
      <c r="K15" s="7">
        <v>13810</v>
      </c>
      <c r="L15" s="9">
        <v>151.41039999999998</v>
      </c>
      <c r="M15" s="7">
        <v>371.31</v>
      </c>
      <c r="N15" s="7">
        <v>250.702</v>
      </c>
      <c r="O15" s="7">
        <v>208.9</v>
      </c>
      <c r="P15" s="6"/>
      <c r="Q15" s="6"/>
      <c r="R15" t="s">
        <v>12</v>
      </c>
      <c r="S15" s="4">
        <f t="shared" si="0"/>
        <v>17.900000000000048</v>
      </c>
      <c r="T15" s="4">
        <f t="shared" si="1"/>
        <v>4.9737991503207013E-14</v>
      </c>
      <c r="U15" s="4"/>
    </row>
    <row r="16" spans="1:21" x14ac:dyDescent="0.35">
      <c r="A16" s="1">
        <v>39539</v>
      </c>
      <c r="B16" s="12">
        <v>272.45</v>
      </c>
      <c r="C16" s="2">
        <v>697.45</v>
      </c>
      <c r="F16">
        <v>131.49883144159216</v>
      </c>
      <c r="G16" s="8">
        <v>271.42399999999998</v>
      </c>
      <c r="H16" s="9">
        <v>208.291</v>
      </c>
      <c r="I16" s="9">
        <v>215.333</v>
      </c>
      <c r="J16" s="9">
        <v>118.22</v>
      </c>
      <c r="K16" s="7">
        <v>13125</v>
      </c>
      <c r="L16" s="9">
        <v>165.077</v>
      </c>
      <c r="M16" s="7">
        <v>57.325000000000003</v>
      </c>
      <c r="N16" s="7">
        <v>54.035999999999987</v>
      </c>
      <c r="O16" s="7">
        <v>23.588999999999999</v>
      </c>
      <c r="P16" s="6"/>
      <c r="Q16" s="6"/>
      <c r="R16" t="s">
        <v>11</v>
      </c>
      <c r="S16" s="4">
        <f t="shared" si="0"/>
        <v>118.22000000000003</v>
      </c>
      <c r="T16" s="4">
        <f t="shared" si="1"/>
        <v>0</v>
      </c>
      <c r="U16" s="4"/>
    </row>
    <row r="17" spans="1:21" x14ac:dyDescent="0.35">
      <c r="A17" s="1">
        <v>39722</v>
      </c>
      <c r="B17" s="12">
        <v>837.93</v>
      </c>
      <c r="C17" s="2">
        <v>729.68999999999994</v>
      </c>
      <c r="F17">
        <v>144.0722751674048</v>
      </c>
      <c r="G17" s="8">
        <v>232.584</v>
      </c>
      <c r="H17" s="9">
        <v>199.35400000000001</v>
      </c>
      <c r="I17" s="9">
        <v>168.90640000000002</v>
      </c>
      <c r="J17" s="9">
        <v>42.97</v>
      </c>
      <c r="K17" s="7">
        <v>13792</v>
      </c>
      <c r="L17" s="9">
        <v>171.96359999999999</v>
      </c>
      <c r="M17" s="7">
        <v>146.51599999999999</v>
      </c>
      <c r="N17" s="7">
        <v>126.836</v>
      </c>
      <c r="O17" s="7">
        <v>33.14</v>
      </c>
      <c r="P17" s="6"/>
      <c r="Q17" s="6"/>
      <c r="R17" t="s">
        <v>12</v>
      </c>
      <c r="S17" s="4">
        <f t="shared" si="0"/>
        <v>42.97</v>
      </c>
      <c r="T17" s="4">
        <f t="shared" si="1"/>
        <v>0</v>
      </c>
      <c r="U17" s="4"/>
    </row>
    <row r="18" spans="1:21" x14ac:dyDescent="0.35">
      <c r="A18" s="1">
        <v>39904</v>
      </c>
      <c r="B18" s="12">
        <v>363.95</v>
      </c>
      <c r="C18" s="2">
        <v>255.14</v>
      </c>
      <c r="F18">
        <v>139.62187573340941</v>
      </c>
      <c r="G18" s="8">
        <v>253.86</v>
      </c>
      <c r="H18" s="9">
        <v>167.99299999999999</v>
      </c>
      <c r="I18" s="9">
        <v>194.72839999999999</v>
      </c>
      <c r="J18" s="9">
        <v>48.06</v>
      </c>
      <c r="K18" s="7">
        <v>6596</v>
      </c>
      <c r="L18" s="9">
        <v>74.195599999999999</v>
      </c>
      <c r="M18" s="7">
        <v>26.513999999999989</v>
      </c>
      <c r="N18" s="7">
        <v>13.66499999999999</v>
      </c>
      <c r="O18" s="7">
        <v>0</v>
      </c>
      <c r="P18" s="6"/>
      <c r="Q18" s="6"/>
      <c r="R18" t="s">
        <v>11</v>
      </c>
      <c r="S18" s="4">
        <f t="shared" si="0"/>
        <v>48.059999999999945</v>
      </c>
      <c r="T18" s="4">
        <f t="shared" si="1"/>
        <v>-5.6843418860808015E-14</v>
      </c>
      <c r="U18" s="4"/>
    </row>
    <row r="19" spans="1:21" x14ac:dyDescent="0.35">
      <c r="A19" s="1">
        <v>40087</v>
      </c>
      <c r="B19" s="12">
        <v>928.4</v>
      </c>
      <c r="C19" s="2">
        <v>725.5</v>
      </c>
      <c r="F19">
        <v>145.4447152646388</v>
      </c>
      <c r="G19" s="8">
        <v>277.48599999999999</v>
      </c>
      <c r="H19" s="9">
        <v>200.691</v>
      </c>
      <c r="I19" s="9">
        <v>208.7328</v>
      </c>
      <c r="J19" s="9">
        <v>59.51</v>
      </c>
      <c r="K19" s="7">
        <v>14034</v>
      </c>
      <c r="L19" s="9">
        <v>142.68220000000002</v>
      </c>
      <c r="M19" s="7">
        <v>143.81899999999999</v>
      </c>
      <c r="N19" s="7">
        <v>123.736</v>
      </c>
      <c r="O19" s="7">
        <v>59.31</v>
      </c>
      <c r="P19" s="6"/>
      <c r="Q19" s="6"/>
      <c r="R19" t="s">
        <v>12</v>
      </c>
      <c r="S19" s="4">
        <f t="shared" si="0"/>
        <v>59.510000000000034</v>
      </c>
      <c r="T19" s="4">
        <f t="shared" si="1"/>
        <v>0</v>
      </c>
      <c r="U19" s="4"/>
    </row>
    <row r="20" spans="1:21" x14ac:dyDescent="0.35">
      <c r="A20" s="1">
        <v>40269</v>
      </c>
      <c r="B20" s="12">
        <v>473.6</v>
      </c>
      <c r="C20" s="2">
        <v>454.7</v>
      </c>
      <c r="F20">
        <v>132.3359761544954</v>
      </c>
      <c r="G20" s="8">
        <v>277.44499999999999</v>
      </c>
      <c r="H20" s="9">
        <v>185.68</v>
      </c>
      <c r="I20" s="9">
        <v>192.64400000000001</v>
      </c>
      <c r="J20" s="9">
        <v>70.09</v>
      </c>
      <c r="K20" s="7">
        <v>13796</v>
      </c>
      <c r="L20" s="9">
        <v>136.995</v>
      </c>
      <c r="M20" s="7">
        <v>55.133999999999993</v>
      </c>
      <c r="N20" s="7">
        <v>47.581000000000003</v>
      </c>
      <c r="O20" s="7">
        <v>0</v>
      </c>
      <c r="P20" s="6"/>
      <c r="Q20" s="6"/>
      <c r="R20" t="s">
        <v>11</v>
      </c>
      <c r="S20" s="4">
        <f t="shared" si="0"/>
        <v>70.089999999999918</v>
      </c>
      <c r="T20" s="4">
        <f t="shared" si="1"/>
        <v>0</v>
      </c>
      <c r="U20" s="4"/>
    </row>
    <row r="21" spans="1:21" x14ac:dyDescent="0.35">
      <c r="A21" s="1">
        <v>40452</v>
      </c>
      <c r="B21" s="12">
        <v>1241.6099999999999</v>
      </c>
      <c r="C21" s="2">
        <v>1015.91</v>
      </c>
      <c r="F21">
        <v>111.83952964523188</v>
      </c>
      <c r="G21" s="8">
        <v>376.86200000000002</v>
      </c>
      <c r="H21" s="9">
        <v>279.96899999999999</v>
      </c>
      <c r="I21" s="9">
        <v>513.98620000000005</v>
      </c>
      <c r="J21" s="9">
        <v>73.03</v>
      </c>
      <c r="K21" s="7">
        <v>14037</v>
      </c>
      <c r="L21" s="9">
        <v>96.18180000000001</v>
      </c>
      <c r="M21" s="7">
        <v>792.58100000000002</v>
      </c>
      <c r="N21" s="7">
        <v>495.37400000000002</v>
      </c>
      <c r="O21" s="7">
        <v>515.125</v>
      </c>
      <c r="P21" s="6"/>
      <c r="Q21" s="6"/>
      <c r="R21" t="s">
        <v>12</v>
      </c>
      <c r="S21" s="4">
        <f t="shared" si="0"/>
        <v>73.029999999999973</v>
      </c>
      <c r="T21" s="4">
        <f t="shared" si="1"/>
        <v>0</v>
      </c>
      <c r="U21" s="4"/>
    </row>
    <row r="22" spans="1:21" x14ac:dyDescent="0.35">
      <c r="A22" s="1">
        <v>40634</v>
      </c>
      <c r="B22" s="12">
        <v>238.61500000000001</v>
      </c>
      <c r="C22" s="2">
        <v>251.3</v>
      </c>
      <c r="F22">
        <v>138.95099508326246</v>
      </c>
      <c r="G22" s="8">
        <v>216.99600000000001</v>
      </c>
      <c r="H22" s="9">
        <v>182.952</v>
      </c>
      <c r="I22" s="9">
        <v>198.16739999999999</v>
      </c>
      <c r="J22" s="9">
        <v>117.18</v>
      </c>
      <c r="K22" s="7">
        <v>14091</v>
      </c>
      <c r="L22" s="9">
        <v>200.29159999999999</v>
      </c>
      <c r="M22" s="7">
        <v>77.184999999999988</v>
      </c>
      <c r="N22" s="7">
        <v>64.525999999999996</v>
      </c>
      <c r="O22" s="7">
        <v>0</v>
      </c>
      <c r="P22" s="6"/>
      <c r="Q22" s="6"/>
      <c r="R22" t="s">
        <v>11</v>
      </c>
      <c r="S22" s="4">
        <f t="shared" si="0"/>
        <v>117.17999999999989</v>
      </c>
      <c r="T22" s="4">
        <f t="shared" si="1"/>
        <v>-1.1368683772161603E-13</v>
      </c>
      <c r="U22" s="4"/>
    </row>
    <row r="23" spans="1:21" x14ac:dyDescent="0.35">
      <c r="A23" s="1">
        <v>40817</v>
      </c>
      <c r="B23" s="4">
        <v>1021.798</v>
      </c>
      <c r="C23" s="7">
        <v>845.50600000000009</v>
      </c>
      <c r="F23">
        <v>135.18659518970404</v>
      </c>
      <c r="G23" s="7">
        <v>227.18299999999999</v>
      </c>
      <c r="H23" s="7">
        <v>152.05500000000001</v>
      </c>
      <c r="I23" s="7">
        <v>188.8434</v>
      </c>
      <c r="J23" s="7">
        <v>12.901999999999999</v>
      </c>
      <c r="K23" s="7">
        <v>13952</v>
      </c>
      <c r="L23" s="9">
        <v>204.91759999999999</v>
      </c>
      <c r="M23" s="7">
        <v>267.11</v>
      </c>
      <c r="N23">
        <v>232.85499999999999</v>
      </c>
      <c r="O23" s="7">
        <v>57.064</v>
      </c>
      <c r="R23" t="s">
        <v>12</v>
      </c>
      <c r="S23" s="4">
        <f t="shared" si="0"/>
        <v>12.902000000000072</v>
      </c>
      <c r="T23" s="4">
        <f t="shared" si="1"/>
        <v>7.2830630415410269E-14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2001-2011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Romitha Wickramasinghe</dc:creator>
  <cp:lastModifiedBy>Wickramasinghe Prabhath Romitha</cp:lastModifiedBy>
  <dcterms:created xsi:type="dcterms:W3CDTF">2015-06-05T18:17:20Z</dcterms:created>
  <dcterms:modified xsi:type="dcterms:W3CDTF">2025-01-11T07:44:26Z</dcterms:modified>
</cp:coreProperties>
</file>